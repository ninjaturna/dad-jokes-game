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Matrix" sheetId="1" state="visible" r:id="rId3"/>
    <sheet name="Scoring Ke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<sst xmlns="http://schemas.openxmlformats.org/spreadsheetml/2006/main" count="170" uniqueCount="118">
  <si>
    <t xml:space="preserve">Marly's Yard — Feature Matrix (vs. Hobnob &amp; Apple Invites)</t>
  </si>
  <si>
    <t xml:space="preserve">Benefit = value to Marly's Yard (recurring host).  Effort = build complexity on the GIO stack.  Priority = Benefit ÷ Effort (higher = ship sooner).</t>
  </si>
  <si>
    <t xml:space="preserve">#</t>
  </si>
  <si>
    <t xml:space="preserve">Feature</t>
  </si>
  <si>
    <t xml:space="preserve">Source</t>
  </si>
  <si>
    <t xml:space="preserve">What it does</t>
  </si>
  <si>
    <t xml:space="preserve">Benefit
(1-5)</t>
  </si>
  <si>
    <t xml:space="preserve">Effort
(1-5)</t>
  </si>
  <si>
    <t xml:space="preserve">Priority
(B/E)</t>
  </si>
  <si>
    <t xml:space="preserve">Phase</t>
  </si>
  <si>
    <t xml:space="preserve">Build note (GIO stack)</t>
  </si>
  <si>
    <t xml:space="preserve">Event page / invitation</t>
  </si>
  <si>
    <t xml:space="preserve">Both</t>
  </si>
  <si>
    <t xml:space="preserve">Custom event page: photo or video background, title, date/time, location, description</t>
  </si>
  <si>
    <t xml:space="preserve">MVP</t>
  </si>
  <si>
    <t xml:space="preserve">Public page; reuse the existing landing-page design system</t>
  </si>
  <si>
    <t xml:space="preserve">Open RSVP (no account)</t>
  </si>
  <si>
    <t xml:space="preserve">Apple</t>
  </si>
  <si>
    <t xml:space="preserve">Guests RSVP yes / no / maybe from a link, no signup required</t>
  </si>
  <si>
    <t xml:space="preserve">Supabase RSVP row keyed to event + device/email; lowest-friction win</t>
  </si>
  <si>
    <t xml:space="preserve">Guest list management</t>
  </si>
  <si>
    <t xml:space="preserve">Host sees who's coming, head counts, contact info</t>
  </si>
  <si>
    <t xml:space="preserve">Supabase table + host dashboard view</t>
  </si>
  <si>
    <t xml:space="preserve">Shareable event link</t>
  </si>
  <si>
    <t xml:space="preserve">Unique public or private URL per event</t>
  </si>
  <si>
    <t xml:space="preserve">Slug / join-code pattern already exists in the repo</t>
  </si>
  <si>
    <t xml:space="preserve">Email invites + delivery</t>
  </si>
  <si>
    <t xml:space="preserve">Send invites and updates by email</t>
  </si>
  <si>
    <t xml:space="preserve">SendGrid is already in the GIO stack</t>
  </si>
  <si>
    <t xml:space="preserve">QR code for event</t>
  </si>
  <si>
    <t xml:space="preserve">Hobnob</t>
  </si>
  <si>
    <t xml:space="preserve">Scannable code that opens the event page</t>
  </si>
  <si>
    <t xml:space="preserve">qrcode.react is already a dependency</t>
  </si>
  <si>
    <t xml:space="preserve">Plus-ones / additional guests</t>
  </si>
  <si>
    <t xml:space="preserve">Let guests bring +N people</t>
  </si>
  <si>
    <t xml:space="preserve">Single field on the RSVP record</t>
  </si>
  <si>
    <t xml:space="preserve">Maps &amp; directions</t>
  </si>
  <si>
    <t xml:space="preserve">Tap the location to open maps / directions</t>
  </si>
  <si>
    <t xml:space="preserve">Deep-link to Apple/Google Maps</t>
  </si>
  <si>
    <t xml:space="preserve">Add to calendar (.ics)</t>
  </si>
  <si>
    <t xml:space="preserve">One-tap add to phone calendar</t>
  </si>
  <si>
    <t xml:space="preserve">Generate .ics + Google Calendar link</t>
  </si>
  <si>
    <t xml:space="preserve">Host messaging / announcements</t>
  </si>
  <si>
    <t xml:space="preserve">Host sends a note or update to all guests</t>
  </si>
  <si>
    <t xml:space="preserve">Tam priority; in-page feed + email push</t>
  </si>
  <si>
    <t xml:space="preserve">Edit event + notify guests</t>
  </si>
  <si>
    <t xml:space="preserve">Change details and push the update to guests</t>
  </si>
  <si>
    <t xml:space="preserve">Diff detection + notify</t>
  </si>
  <si>
    <t xml:space="preserve">Host dashboard</t>
  </si>
  <si>
    <t xml:space="preserve">All events and RSVP status at a glance</t>
  </si>
  <si>
    <t xml:space="preserve">Auth + list view</t>
  </si>
  <si>
    <t xml:space="preserve">SMS / text invites + RSVP</t>
  </si>
  <si>
    <t xml:space="preserve">Send invites &amp; reminders by text; reply to RSVP</t>
  </si>
  <si>
    <t xml:space="preserve">Phase 2</t>
  </si>
  <si>
    <t xml:space="preserve">Twilio + A2P 10DLC carrier registration, compliance, per-msg cost</t>
  </si>
  <si>
    <t xml:space="preserve">Date / time polls</t>
  </si>
  <si>
    <t xml:space="preserve">Poll guests to pick the best date before locking it</t>
  </si>
  <si>
    <t xml:space="preserve">High value for recurring gatherings; separate voting flow</t>
  </si>
  <si>
    <t xml:space="preserve">Recurring events</t>
  </si>
  <si>
    <t xml:space="preserve">Weekly / monthly series from a shared template</t>
  </si>
  <si>
    <t xml:space="preserve">Core to Marly's Yard cadence; recurrence data model</t>
  </si>
  <si>
    <t xml:space="preserve">Automated reminders / nudges</t>
  </si>
  <si>
    <t xml:space="preserve">Auto-remind non-responders + pre-event reminders</t>
  </si>
  <si>
    <t xml:space="preserve">Scheduled edge function + email/SMS</t>
  </si>
  <si>
    <t xml:space="preserve">Sign-up lists (potluck / volunteer)</t>
  </si>
  <si>
    <t xml:space="preserve">Guests claim items or slots (who brings what)</t>
  </si>
  <si>
    <t xml:space="preserve">Slots table + claim flow</t>
  </si>
  <si>
    <t xml:space="preserve">Guest approval (approve/deny RSVP)</t>
  </si>
  <si>
    <t xml:space="preserve">Host approves guests before they join</t>
  </si>
  <si>
    <t xml:space="preserve">Status field + host action</t>
  </si>
  <si>
    <t xml:space="preserve">Photo album (guest uploads)</t>
  </si>
  <si>
    <t xml:space="preserve">Collect event photos in one shared place</t>
  </si>
  <si>
    <t xml:space="preserve">Supabase storage + gallery</t>
  </si>
  <si>
    <t xml:space="preserve">Per-guest notification prefs</t>
  </si>
  <si>
    <t xml:space="preserve">Each guest controls what they receive</t>
  </si>
  <si>
    <t xml:space="preserve">Preferences table</t>
  </si>
  <si>
    <t xml:space="preserve">Privacy controls</t>
  </si>
  <si>
    <t xml:space="preserve">Hide details until RSVP, pause replies, capacity cap</t>
  </si>
  <si>
    <t xml:space="preserve">Flags on the event record</t>
  </si>
  <si>
    <t xml:space="preserve">Specify number of kids</t>
  </si>
  <si>
    <t xml:space="preserve">Guests note kids in their party</t>
  </si>
  <si>
    <t xml:space="preserve">Field on the RSVP record</t>
  </si>
  <si>
    <t xml:space="preserve">Invite templates / design picker</t>
  </si>
  <si>
    <t xml:space="preserve">Pre-built invite themes to pick from</t>
  </si>
  <si>
    <t xml:space="preserve">Template set inside the design system</t>
  </si>
  <si>
    <t xml:space="preserve">Community Space (persistent group)</t>
  </si>
  <si>
    <t xml:space="preserve">Ongoing dashboard for the regulars: chat, topics, member directory between events</t>
  </si>
  <si>
    <t xml:space="preserve">Later</t>
  </si>
  <si>
    <t xml:space="preserve">Large build; Hobnob Spaces analog</t>
  </si>
  <si>
    <t xml:space="preserve">Guest chat / threaded discussion</t>
  </si>
  <si>
    <t xml:space="preserve">Realtime chat per event or space</t>
  </si>
  <si>
    <t xml:space="preserve">Realtime + moderation overhead</t>
  </si>
  <si>
    <t xml:space="preserve">Music / shared playlist</t>
  </si>
  <si>
    <t xml:space="preserve">Collaborative playlist to set the mood</t>
  </si>
  <si>
    <t xml:space="preserve">Apple Music / Spotify API</t>
  </si>
  <si>
    <t xml:space="preserve">Ticketing / paid events</t>
  </si>
  <si>
    <t xml:space="preserve">Sell tickets and collect payment</t>
  </si>
  <si>
    <t xml:space="preserve">Stripe — only if monetizing</t>
  </si>
  <si>
    <t xml:space="preserve">Video invites</t>
  </si>
  <si>
    <t xml:space="preserve">Custom video invitations</t>
  </si>
  <si>
    <t xml:space="preserve">Video hosting / encoding</t>
  </si>
  <si>
    <t xml:space="preserve">Scoring Key</t>
  </si>
  <si>
    <t xml:space="preserve">Benefit (value to Marly's Yard)</t>
  </si>
  <si>
    <t xml:space="preserve">Score</t>
  </si>
  <si>
    <t xml:space="preserve">Meaning</t>
  </si>
  <si>
    <t xml:space="preserve">Essential to a recurring host — directly drives turnout or retention</t>
  </si>
  <si>
    <t xml:space="preserve">Strong value, clearly improves the host or guest experience</t>
  </si>
  <si>
    <t xml:space="preserve">Useful, expected by some users</t>
  </si>
  <si>
    <t xml:space="preserve">Nice to have, narrow appeal</t>
  </si>
  <si>
    <t xml:space="preserve">Marginal for this use case</t>
  </si>
  <si>
    <t xml:space="preserve">Effort (build complexity on GIO stack)</t>
  </si>
  <si>
    <t xml:space="preserve">Trivial — field, link, or reuse of existing code</t>
  </si>
  <si>
    <t xml:space="preserve">Small — one table + one screen</t>
  </si>
  <si>
    <t xml:space="preserve">Moderate — new flow, scheduled jobs, or storage</t>
  </si>
  <si>
    <t xml:space="preserve">Large — third-party integration, compliance, or realtime/moderation</t>
  </si>
  <si>
    <t xml:space="preserve">Very large — multi-system build</t>
  </si>
  <si>
    <t xml:space="preserve">Priority</t>
  </si>
  <si>
    <t xml:space="preserve">Benefit ÷ Effort. Higher = cheaper win, ship sooner. Phase column groups the recommendation.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</si>
</sst>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BDF30D"/>
        <bgColor rgb="FFFFFF00"/>
      </patternFill>
    </fill>
    <fill>
      <patternFill patternType="solid">
        <fgColor rgb="FFD8F8B8"/>
        <bgColor rgb="FFFFF3C4"/>
      </patternFill>
    </fill>
    <fill>
      <patternFill patternType="solid">
        <fgColor rgb="FFFFF3C4"/>
        <bgColor rgb="FFFFFF99"/>
      </patternFill>
    </fill>
    <fill>
      <patternFill patternType="solid">
        <fgColor rgb="FFF2D9D0"/>
        <bgColor rgb="FFFFF3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8B8"/>
      <rgbColor rgb="FFFFFF99"/>
      <rgbColor rgb="FF99CCFF"/>
      <rgbColor rgb="FFFF99CC"/>
      <rgbColor rgb="FFCC99FF"/>
      <rgbColor rgb="FFF2D9D0"/>
      <rgbColor rgb="FF3366FF"/>
      <rgbColor rgb="FF33CCCC"/>
      <rgbColor rgb="FFBDF30D"/>
      <rgbColor rgb="FFFFCC00"/>
      <rgbColor rgb="FFFF9900"/>
      <rgbColor rgb="FFFF6600"/>
      <rgbColor rgb="FF555555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3.85" hidden="false" customHeight="false" outlineLevel="0" collapsed="false">
      <c r="A4" s="4" t="n">
        <v>1</v>
      </c>
      <c r="B4" s="5" t="s">
        <v>11</v>
      </c>
      <c r="C4" s="6" t="s">
        <v>12</v>
      </c>
      <c r="D4" s="6" t="s">
        <v>13</v>
      </c>
      <c r="E4" s="4" t="n">
        <v>5</v>
      </c>
      <c r="F4" s="4" t="n">
        <v>2</v>
      </c>
      <c r="G4" s="4" t="n">
        <f aca="false">ROUND(E4/F4,2)</f>
        <v>2.5</v>
      </c>
      <c r="H4" s="7" t="s">
        <v>14</v>
      </c>
      <c r="I4" s="6" t="s">
        <v>15</v>
      </c>
    </row>
    <row r="5" customFormat="false" ht="23.85" hidden="false" customHeight="false" outlineLevel="0" collapsed="false">
      <c r="A5" s="4" t="n">
        <v>2</v>
      </c>
      <c r="B5" s="5" t="s">
        <v>16</v>
      </c>
      <c r="C5" s="6" t="s">
        <v>17</v>
      </c>
      <c r="D5" s="6" t="s">
        <v>18</v>
      </c>
      <c r="E5" s="4" t="n">
        <v>5</v>
      </c>
      <c r="F5" s="4" t="n">
        <v>2</v>
      </c>
      <c r="G5" s="4" t="n">
        <f aca="false">ROUND(E5/F5,2)</f>
        <v>2.5</v>
      </c>
      <c r="H5" s="7" t="s">
        <v>14</v>
      </c>
      <c r="I5" s="6" t="s">
        <v>19</v>
      </c>
    </row>
    <row r="6" customFormat="false" ht="15" hidden="false" customHeight="false" outlineLevel="0" collapsed="false">
      <c r="A6" s="4" t="n">
        <v>3</v>
      </c>
      <c r="B6" s="5" t="s">
        <v>20</v>
      </c>
      <c r="C6" s="6" t="s">
        <v>12</v>
      </c>
      <c r="D6" s="6" t="s">
        <v>21</v>
      </c>
      <c r="E6" s="4" t="n">
        <v>5</v>
      </c>
      <c r="F6" s="4" t="n">
        <v>2</v>
      </c>
      <c r="G6" s="4" t="n">
        <f aca="false">ROUND(E6/F6,2)</f>
        <v>2.5</v>
      </c>
      <c r="H6" s="7" t="s">
        <v>14</v>
      </c>
      <c r="I6" s="6" t="s">
        <v>22</v>
      </c>
    </row>
    <row r="7" customFormat="false" ht="15" hidden="false" customHeight="false" outlineLevel="0" collapsed="false">
      <c r="A7" s="4" t="n">
        <v>4</v>
      </c>
      <c r="B7" s="5" t="s">
        <v>23</v>
      </c>
      <c r="C7" s="6" t="s">
        <v>12</v>
      </c>
      <c r="D7" s="6" t="s">
        <v>24</v>
      </c>
      <c r="E7" s="4" t="n">
        <v>5</v>
      </c>
      <c r="F7" s="4" t="n">
        <v>1</v>
      </c>
      <c r="G7" s="4" t="n">
        <f aca="false">ROUND(E7/F7,2)</f>
        <v>5</v>
      </c>
      <c r="H7" s="7" t="s">
        <v>14</v>
      </c>
      <c r="I7" s="6" t="s">
        <v>25</v>
      </c>
    </row>
    <row r="8" customFormat="false" ht="15" hidden="false" customHeight="false" outlineLevel="0" collapsed="false">
      <c r="A8" s="4" t="n">
        <v>5</v>
      </c>
      <c r="B8" s="5" t="s">
        <v>26</v>
      </c>
      <c r="C8" s="6" t="s">
        <v>12</v>
      </c>
      <c r="D8" s="6" t="s">
        <v>27</v>
      </c>
      <c r="E8" s="4" t="n">
        <v>4</v>
      </c>
      <c r="F8" s="4" t="n">
        <v>2</v>
      </c>
      <c r="G8" s="4" t="n">
        <f aca="false">ROUND(E8/F8,2)</f>
        <v>2</v>
      </c>
      <c r="H8" s="7" t="s">
        <v>14</v>
      </c>
      <c r="I8" s="6" t="s">
        <v>28</v>
      </c>
    </row>
    <row r="9" customFormat="false" ht="15" hidden="false" customHeight="false" outlineLevel="0" collapsed="false">
      <c r="A9" s="4" t="n">
        <v>6</v>
      </c>
      <c r="B9" s="5" t="s">
        <v>29</v>
      </c>
      <c r="C9" s="6" t="s">
        <v>30</v>
      </c>
      <c r="D9" s="6" t="s">
        <v>31</v>
      </c>
      <c r="E9" s="4" t="n">
        <v>3</v>
      </c>
      <c r="F9" s="4" t="n">
        <v>1</v>
      </c>
      <c r="G9" s="4" t="n">
        <f aca="false">ROUND(E9/F9,2)</f>
        <v>3</v>
      </c>
      <c r="H9" s="7" t="s">
        <v>14</v>
      </c>
      <c r="I9" s="6" t="s">
        <v>32</v>
      </c>
    </row>
    <row r="10" customFormat="false" ht="15" hidden="false" customHeight="false" outlineLevel="0" collapsed="false">
      <c r="A10" s="4" t="n">
        <v>7</v>
      </c>
      <c r="B10" s="5" t="s">
        <v>33</v>
      </c>
      <c r="C10" s="6" t="s">
        <v>12</v>
      </c>
      <c r="D10" s="6" t="s">
        <v>34</v>
      </c>
      <c r="E10" s="4" t="n">
        <v>4</v>
      </c>
      <c r="F10" s="4" t="n">
        <v>1</v>
      </c>
      <c r="G10" s="4" t="n">
        <f aca="false">ROUND(E10/F10,2)</f>
        <v>4</v>
      </c>
      <c r="H10" s="7" t="s">
        <v>14</v>
      </c>
      <c r="I10" s="6" t="s">
        <v>35</v>
      </c>
    </row>
    <row r="11" customFormat="false" ht="15" hidden="false" customHeight="false" outlineLevel="0" collapsed="false">
      <c r="A11" s="4" t="n">
        <v>8</v>
      </c>
      <c r="B11" s="5" t="s">
        <v>36</v>
      </c>
      <c r="C11" s="6" t="s">
        <v>30</v>
      </c>
      <c r="D11" s="6" t="s">
        <v>37</v>
      </c>
      <c r="E11" s="4" t="n">
        <v>3</v>
      </c>
      <c r="F11" s="4" t="n">
        <v>1</v>
      </c>
      <c r="G11" s="4" t="n">
        <f aca="false">ROUND(E11/F11,2)</f>
        <v>3</v>
      </c>
      <c r="H11" s="7" t="s">
        <v>14</v>
      </c>
      <c r="I11" s="6" t="s">
        <v>38</v>
      </c>
    </row>
    <row r="12" customFormat="false" ht="15" hidden="false" customHeight="false" outlineLevel="0" collapsed="false">
      <c r="A12" s="4" t="n">
        <v>9</v>
      </c>
      <c r="B12" s="5" t="s">
        <v>39</v>
      </c>
      <c r="C12" s="6" t="s">
        <v>12</v>
      </c>
      <c r="D12" s="6" t="s">
        <v>40</v>
      </c>
      <c r="E12" s="4" t="n">
        <v>4</v>
      </c>
      <c r="F12" s="4" t="n">
        <v>2</v>
      </c>
      <c r="G12" s="4" t="n">
        <f aca="false">ROUND(E12/F12,2)</f>
        <v>2</v>
      </c>
      <c r="H12" s="7" t="s">
        <v>14</v>
      </c>
      <c r="I12" s="6" t="s">
        <v>41</v>
      </c>
    </row>
    <row r="13" customFormat="false" ht="15" hidden="false" customHeight="false" outlineLevel="0" collapsed="false">
      <c r="A13" s="4" t="n">
        <v>10</v>
      </c>
      <c r="B13" s="5" t="s">
        <v>42</v>
      </c>
      <c r="C13" s="6" t="s">
        <v>12</v>
      </c>
      <c r="D13" s="6" t="s">
        <v>43</v>
      </c>
      <c r="E13" s="4" t="n">
        <v>5</v>
      </c>
      <c r="F13" s="4" t="n">
        <v>2</v>
      </c>
      <c r="G13" s="4" t="n">
        <f aca="false">ROUND(E13/F13,2)</f>
        <v>2.5</v>
      </c>
      <c r="H13" s="7" t="s">
        <v>14</v>
      </c>
      <c r="I13" s="6" t="s">
        <v>44</v>
      </c>
    </row>
    <row r="14" customFormat="false" ht="15" hidden="false" customHeight="false" outlineLevel="0" collapsed="false">
      <c r="A14" s="4" t="n">
        <v>11</v>
      </c>
      <c r="B14" s="5" t="s">
        <v>45</v>
      </c>
      <c r="C14" s="6" t="s">
        <v>12</v>
      </c>
      <c r="D14" s="6" t="s">
        <v>46</v>
      </c>
      <c r="E14" s="4" t="n">
        <v>4</v>
      </c>
      <c r="F14" s="4" t="n">
        <v>2</v>
      </c>
      <c r="G14" s="4" t="n">
        <f aca="false">ROUND(E14/F14,2)</f>
        <v>2</v>
      </c>
      <c r="H14" s="7" t="s">
        <v>14</v>
      </c>
      <c r="I14" s="6" t="s">
        <v>47</v>
      </c>
    </row>
    <row r="15" customFormat="false" ht="15" hidden="false" customHeight="false" outlineLevel="0" collapsed="false">
      <c r="A15" s="4" t="n">
        <v>12</v>
      </c>
      <c r="B15" s="5" t="s">
        <v>48</v>
      </c>
      <c r="C15" s="6" t="s">
        <v>12</v>
      </c>
      <c r="D15" s="6" t="s">
        <v>49</v>
      </c>
      <c r="E15" s="4" t="n">
        <v>4</v>
      </c>
      <c r="F15" s="4" t="n">
        <v>3</v>
      </c>
      <c r="G15" s="4" t="n">
        <f aca="false">ROUND(E15/F15,2)</f>
        <v>1.33</v>
      </c>
      <c r="H15" s="7" t="s">
        <v>14</v>
      </c>
      <c r="I15" s="6" t="s">
        <v>50</v>
      </c>
    </row>
    <row r="16" customFormat="false" ht="23.85" hidden="false" customHeight="false" outlineLevel="0" collapsed="false">
      <c r="A16" s="4" t="n">
        <v>13</v>
      </c>
      <c r="B16" s="5" t="s">
        <v>51</v>
      </c>
      <c r="C16" s="6" t="s">
        <v>30</v>
      </c>
      <c r="D16" s="6" t="s">
        <v>52</v>
      </c>
      <c r="E16" s="4" t="n">
        <v>5</v>
      </c>
      <c r="F16" s="4" t="n">
        <v>4</v>
      </c>
      <c r="G16" s="4" t="n">
        <f aca="false">ROUND(E16/F16,2)</f>
        <v>1.25</v>
      </c>
      <c r="H16" s="8" t="s">
        <v>53</v>
      </c>
      <c r="I16" s="6" t="s">
        <v>54</v>
      </c>
    </row>
    <row r="17" customFormat="false" ht="23.85" hidden="false" customHeight="false" outlineLevel="0" collapsed="false">
      <c r="A17" s="4" t="n">
        <v>14</v>
      </c>
      <c r="B17" s="5" t="s">
        <v>55</v>
      </c>
      <c r="C17" s="6" t="s">
        <v>30</v>
      </c>
      <c r="D17" s="6" t="s">
        <v>56</v>
      </c>
      <c r="E17" s="4" t="n">
        <v>5</v>
      </c>
      <c r="F17" s="4" t="n">
        <v>3</v>
      </c>
      <c r="G17" s="4" t="n">
        <f aca="false">ROUND(E17/F17,2)</f>
        <v>1.67</v>
      </c>
      <c r="H17" s="8" t="s">
        <v>53</v>
      </c>
      <c r="I17" s="6" t="s">
        <v>57</v>
      </c>
    </row>
    <row r="18" customFormat="false" ht="23.85" hidden="false" customHeight="false" outlineLevel="0" collapsed="false">
      <c r="A18" s="4" t="n">
        <v>15</v>
      </c>
      <c r="B18" s="5" t="s">
        <v>58</v>
      </c>
      <c r="C18" s="6" t="s">
        <v>30</v>
      </c>
      <c r="D18" s="6" t="s">
        <v>59</v>
      </c>
      <c r="E18" s="4" t="n">
        <v>5</v>
      </c>
      <c r="F18" s="4" t="n">
        <v>3</v>
      </c>
      <c r="G18" s="4" t="n">
        <f aca="false">ROUND(E18/F18,2)</f>
        <v>1.67</v>
      </c>
      <c r="H18" s="8" t="s">
        <v>53</v>
      </c>
      <c r="I18" s="6" t="s">
        <v>60</v>
      </c>
    </row>
    <row r="19" customFormat="false" ht="15" hidden="false" customHeight="false" outlineLevel="0" collapsed="false">
      <c r="A19" s="4" t="n">
        <v>16</v>
      </c>
      <c r="B19" s="5" t="s">
        <v>61</v>
      </c>
      <c r="C19" s="6" t="s">
        <v>12</v>
      </c>
      <c r="D19" s="6" t="s">
        <v>62</v>
      </c>
      <c r="E19" s="4" t="n">
        <v>4</v>
      </c>
      <c r="F19" s="4" t="n">
        <v>3</v>
      </c>
      <c r="G19" s="4" t="n">
        <f aca="false">ROUND(E19/F19,2)</f>
        <v>1.33</v>
      </c>
      <c r="H19" s="8" t="s">
        <v>53</v>
      </c>
      <c r="I19" s="6" t="s">
        <v>63</v>
      </c>
    </row>
    <row r="20" customFormat="false" ht="15" hidden="false" customHeight="false" outlineLevel="0" collapsed="false">
      <c r="A20" s="4" t="n">
        <v>17</v>
      </c>
      <c r="B20" s="5" t="s">
        <v>64</v>
      </c>
      <c r="C20" s="6" t="s">
        <v>30</v>
      </c>
      <c r="D20" s="6" t="s">
        <v>65</v>
      </c>
      <c r="E20" s="4" t="n">
        <v>4</v>
      </c>
      <c r="F20" s="4" t="n">
        <v>3</v>
      </c>
      <c r="G20" s="4" t="n">
        <f aca="false">ROUND(E20/F20,2)</f>
        <v>1.33</v>
      </c>
      <c r="H20" s="8" t="s">
        <v>53</v>
      </c>
      <c r="I20" s="6" t="s">
        <v>66</v>
      </c>
    </row>
    <row r="21" customFormat="false" ht="23.85" hidden="false" customHeight="false" outlineLevel="0" collapsed="false">
      <c r="A21" s="4" t="n">
        <v>18</v>
      </c>
      <c r="B21" s="5" t="s">
        <v>67</v>
      </c>
      <c r="C21" s="6" t="s">
        <v>17</v>
      </c>
      <c r="D21" s="6" t="s">
        <v>68</v>
      </c>
      <c r="E21" s="4" t="n">
        <v>3</v>
      </c>
      <c r="F21" s="4" t="n">
        <v>2</v>
      </c>
      <c r="G21" s="4" t="n">
        <f aca="false">ROUND(E21/F21,2)</f>
        <v>1.5</v>
      </c>
      <c r="H21" s="8" t="s">
        <v>53</v>
      </c>
      <c r="I21" s="6" t="s">
        <v>69</v>
      </c>
    </row>
    <row r="22" customFormat="false" ht="15" hidden="false" customHeight="false" outlineLevel="0" collapsed="false">
      <c r="A22" s="4" t="n">
        <v>19</v>
      </c>
      <c r="B22" s="5" t="s">
        <v>70</v>
      </c>
      <c r="C22" s="6" t="s">
        <v>12</v>
      </c>
      <c r="D22" s="6" t="s">
        <v>71</v>
      </c>
      <c r="E22" s="4" t="n">
        <v>4</v>
      </c>
      <c r="F22" s="4" t="n">
        <v>3</v>
      </c>
      <c r="G22" s="4" t="n">
        <f aca="false">ROUND(E22/F22,2)</f>
        <v>1.33</v>
      </c>
      <c r="H22" s="8" t="s">
        <v>53</v>
      </c>
      <c r="I22" s="6" t="s">
        <v>72</v>
      </c>
    </row>
    <row r="23" customFormat="false" ht="15" hidden="false" customHeight="false" outlineLevel="0" collapsed="false">
      <c r="A23" s="4" t="n">
        <v>20</v>
      </c>
      <c r="B23" s="5" t="s">
        <v>73</v>
      </c>
      <c r="C23" s="6" t="s">
        <v>12</v>
      </c>
      <c r="D23" s="6" t="s">
        <v>74</v>
      </c>
      <c r="E23" s="4" t="n">
        <v>3</v>
      </c>
      <c r="F23" s="4" t="n">
        <v>2</v>
      </c>
      <c r="G23" s="4" t="n">
        <f aca="false">ROUND(E23/F23,2)</f>
        <v>1.5</v>
      </c>
      <c r="H23" s="8" t="s">
        <v>53</v>
      </c>
      <c r="I23" s="6" t="s">
        <v>75</v>
      </c>
    </row>
    <row r="24" customFormat="false" ht="23.85" hidden="false" customHeight="false" outlineLevel="0" collapsed="false">
      <c r="A24" s="4" t="n">
        <v>21</v>
      </c>
      <c r="B24" s="5" t="s">
        <v>76</v>
      </c>
      <c r="C24" s="6" t="s">
        <v>17</v>
      </c>
      <c r="D24" s="6" t="s">
        <v>77</v>
      </c>
      <c r="E24" s="4" t="n">
        <v>3</v>
      </c>
      <c r="F24" s="4" t="n">
        <v>2</v>
      </c>
      <c r="G24" s="4" t="n">
        <f aca="false">ROUND(E24/F24,2)</f>
        <v>1.5</v>
      </c>
      <c r="H24" s="8" t="s">
        <v>53</v>
      </c>
      <c r="I24" s="6" t="s">
        <v>78</v>
      </c>
    </row>
    <row r="25" customFormat="false" ht="15" hidden="false" customHeight="false" outlineLevel="0" collapsed="false">
      <c r="A25" s="4" t="n">
        <v>22</v>
      </c>
      <c r="B25" s="5" t="s">
        <v>79</v>
      </c>
      <c r="C25" s="6" t="s">
        <v>17</v>
      </c>
      <c r="D25" s="6" t="s">
        <v>80</v>
      </c>
      <c r="E25" s="4" t="n">
        <v>2</v>
      </c>
      <c r="F25" s="4" t="n">
        <v>1</v>
      </c>
      <c r="G25" s="4" t="n">
        <f aca="false">ROUND(E25/F25,2)</f>
        <v>2</v>
      </c>
      <c r="H25" s="8" t="s">
        <v>53</v>
      </c>
      <c r="I25" s="6" t="s">
        <v>81</v>
      </c>
    </row>
    <row r="26" customFormat="false" ht="15" hidden="false" customHeight="false" outlineLevel="0" collapsed="false">
      <c r="A26" s="4" t="n">
        <v>23</v>
      </c>
      <c r="B26" s="5" t="s">
        <v>82</v>
      </c>
      <c r="C26" s="6" t="s">
        <v>30</v>
      </c>
      <c r="D26" s="6" t="s">
        <v>83</v>
      </c>
      <c r="E26" s="4" t="n">
        <v>3</v>
      </c>
      <c r="F26" s="4" t="n">
        <v>3</v>
      </c>
      <c r="G26" s="4" t="n">
        <f aca="false">ROUND(E26/F26,2)</f>
        <v>1</v>
      </c>
      <c r="H26" s="8" t="s">
        <v>53</v>
      </c>
      <c r="I26" s="6" t="s">
        <v>84</v>
      </c>
    </row>
    <row r="27" customFormat="false" ht="23.85" hidden="false" customHeight="false" outlineLevel="0" collapsed="false">
      <c r="A27" s="4" t="n">
        <v>24</v>
      </c>
      <c r="B27" s="5" t="s">
        <v>85</v>
      </c>
      <c r="C27" s="6" t="s">
        <v>30</v>
      </c>
      <c r="D27" s="6" t="s">
        <v>86</v>
      </c>
      <c r="E27" s="4" t="n">
        <v>4</v>
      </c>
      <c r="F27" s="4" t="n">
        <v>4</v>
      </c>
      <c r="G27" s="4" t="n">
        <f aca="false">ROUND(E27/F27,2)</f>
        <v>1</v>
      </c>
      <c r="H27" s="9" t="s">
        <v>87</v>
      </c>
      <c r="I27" s="6" t="s">
        <v>88</v>
      </c>
    </row>
    <row r="28" customFormat="false" ht="15" hidden="false" customHeight="false" outlineLevel="0" collapsed="false">
      <c r="A28" s="4" t="n">
        <v>25</v>
      </c>
      <c r="B28" s="5" t="s">
        <v>89</v>
      </c>
      <c r="C28" s="6" t="s">
        <v>30</v>
      </c>
      <c r="D28" s="6" t="s">
        <v>90</v>
      </c>
      <c r="E28" s="4" t="n">
        <v>3</v>
      </c>
      <c r="F28" s="4" t="n">
        <v>4</v>
      </c>
      <c r="G28" s="4" t="n">
        <f aca="false">ROUND(E28/F28,2)</f>
        <v>0.75</v>
      </c>
      <c r="H28" s="9" t="s">
        <v>87</v>
      </c>
      <c r="I28" s="6" t="s">
        <v>91</v>
      </c>
    </row>
    <row r="29" customFormat="false" ht="15" hidden="false" customHeight="false" outlineLevel="0" collapsed="false">
      <c r="A29" s="4" t="n">
        <v>26</v>
      </c>
      <c r="B29" s="5" t="s">
        <v>92</v>
      </c>
      <c r="C29" s="6" t="s">
        <v>17</v>
      </c>
      <c r="D29" s="6" t="s">
        <v>93</v>
      </c>
      <c r="E29" s="4" t="n">
        <v>2</v>
      </c>
      <c r="F29" s="4" t="n">
        <v>3</v>
      </c>
      <c r="G29" s="4" t="n">
        <f aca="false">ROUND(E29/F29,2)</f>
        <v>0.67</v>
      </c>
      <c r="H29" s="9" t="s">
        <v>87</v>
      </c>
      <c r="I29" s="6" t="s">
        <v>94</v>
      </c>
    </row>
    <row r="30" customFormat="false" ht="15" hidden="false" customHeight="false" outlineLevel="0" collapsed="false">
      <c r="A30" s="4" t="n">
        <v>27</v>
      </c>
      <c r="B30" s="5" t="s">
        <v>95</v>
      </c>
      <c r="C30" s="6" t="s">
        <v>30</v>
      </c>
      <c r="D30" s="6" t="s">
        <v>96</v>
      </c>
      <c r="E30" s="4" t="n">
        <v>3</v>
      </c>
      <c r="F30" s="4" t="n">
        <v>4</v>
      </c>
      <c r="G30" s="4" t="n">
        <f aca="false">ROUND(E30/F30,2)</f>
        <v>0.75</v>
      </c>
      <c r="H30" s="9" t="s">
        <v>87</v>
      </c>
      <c r="I30" s="6" t="s">
        <v>97</v>
      </c>
    </row>
    <row r="31" customFormat="false" ht="15" hidden="false" customHeight="false" outlineLevel="0" collapsed="false">
      <c r="A31" s="4" t="n">
        <v>28</v>
      </c>
      <c r="B31" s="5" t="s">
        <v>98</v>
      </c>
      <c r="C31" s="6" t="s">
        <v>30</v>
      </c>
      <c r="D31" s="6" t="s">
        <v>99</v>
      </c>
      <c r="E31" s="4" t="n">
        <v>2</v>
      </c>
      <c r="F31" s="4" t="n">
        <v>3</v>
      </c>
      <c r="G31" s="4" t="n">
        <f aca="false">ROUND(E31/F31,2)</f>
        <v>0.67</v>
      </c>
      <c r="H31" s="9" t="s">
        <v>87</v>
      </c>
      <c r="I31" s="6" t="s">
        <v>100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0" t="s">
        <v>101</v>
      </c>
      <c r="B1" s="10"/>
      <c r="C1" s="10"/>
    </row>
    <row r="3" customFormat="false" ht="15" hidden="false" customHeight="false" outlineLevel="0" collapsed="false">
      <c r="A3" s="11" t="s">
        <v>102</v>
      </c>
    </row>
    <row r="4" customFormat="false" ht="15" hidden="false" customHeight="false" outlineLevel="0" collapsed="false">
      <c r="A4" s="11" t="s">
        <v>103</v>
      </c>
      <c r="B4" s="11" t="s">
        <v>104</v>
      </c>
    </row>
    <row r="5" customFormat="false" ht="15" hidden="false" customHeight="false" outlineLevel="0" collapsed="false">
      <c r="A5" s="12" t="n">
        <v>5</v>
      </c>
      <c r="B5" s="0" t="s">
        <v>105</v>
      </c>
    </row>
    <row r="6" customFormat="false" ht="15" hidden="false" customHeight="false" outlineLevel="0" collapsed="false">
      <c r="A6" s="12" t="n">
        <v>4</v>
      </c>
      <c r="B6" s="0" t="s">
        <v>106</v>
      </c>
    </row>
    <row r="7" customFormat="false" ht="15" hidden="false" customHeight="false" outlineLevel="0" collapsed="false">
      <c r="A7" s="12" t="n">
        <v>3</v>
      </c>
      <c r="B7" s="0" t="s">
        <v>107</v>
      </c>
    </row>
    <row r="8" customFormat="false" ht="15" hidden="false" customHeight="false" outlineLevel="0" collapsed="false">
      <c r="A8" s="12" t="n">
        <v>2</v>
      </c>
      <c r="B8" s="0" t="s">
        <v>108</v>
      </c>
    </row>
    <row r="9" customFormat="false" ht="15" hidden="false" customHeight="false" outlineLevel="0" collapsed="false">
      <c r="A9" s="12" t="n">
        <v>1</v>
      </c>
      <c r="B9" s="0" t="s">
        <v>109</v>
      </c>
    </row>
    <row r="11" customFormat="false" ht="15" hidden="false" customHeight="false" outlineLevel="0" collapsed="false">
      <c r="A11" s="11" t="s">
        <v>110</v>
      </c>
    </row>
    <row r="12" customFormat="false" ht="15" hidden="false" customHeight="false" outlineLevel="0" collapsed="false">
      <c r="A12" s="11" t="s">
        <v>103</v>
      </c>
      <c r="B12" s="11" t="s">
        <v>104</v>
      </c>
    </row>
    <row r="13" customFormat="false" ht="15" hidden="false" customHeight="false" outlineLevel="0" collapsed="false">
      <c r="A13" s="12" t="n">
        <v>1</v>
      </c>
      <c r="B13" s="0" t="s">
        <v>111</v>
      </c>
    </row>
    <row r="14" customFormat="false" ht="15" hidden="false" customHeight="false" outlineLevel="0" collapsed="false">
      <c r="A14" s="12" t="n">
        <v>2</v>
      </c>
      <c r="B14" s="0" t="s">
        <v>112</v>
      </c>
    </row>
    <row r="15" customFormat="false" ht="15" hidden="false" customHeight="false" outlineLevel="0" collapsed="false">
      <c r="A15" s="12" t="n">
        <v>3</v>
      </c>
      <c r="B15" s="0" t="s">
        <v>113</v>
      </c>
    </row>
    <row r="16" customFormat="false" ht="15" hidden="false" customHeight="false" outlineLevel="0" collapsed="false">
      <c r="A16" s="12" t="n">
        <v>4</v>
      </c>
      <c r="B16" s="0" t="s">
        <v>114</v>
      </c>
    </row>
    <row r="17" customFormat="false" ht="15" hidden="false" customHeight="false" outlineLevel="0" collapsed="false">
      <c r="A17" s="12" t="n">
        <v>5</v>
      </c>
      <c r="B17" s="0" t="s">
        <v>115</v>
      </c>
    </row>
    <row r="19" customFormat="false" ht="15" hidden="false" customHeight="false" outlineLevel="0" collapsed="false">
      <c r="A19" s="11" t="s">
        <v>116</v>
      </c>
    </row>
    <row r="20" customFormat="false" ht="15" hidden="false" customHeight="false" outlineLevel="0" collapsed="false">
      <c r="A20" s="13" t="s">
        <v>117</v>
      </c>
      <c r="B20" s="13"/>
      <c r="C20" s="13"/>
    </row>
  </sheetData>
  <mergeCells count="2">
    <mergeCell ref="A1:C1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2026-06-18T21:33:01Z</dcterms:created>
  <dc:creator>openpyxl</dc:creator>
  <dc:description/>
  <dc:language>en-US</dc:language>
  <cp:lastModifiedBy/>
  <dcterms:modified xsi:type="dcterms:W3CDTF">2026-06-18T21:33:01Z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